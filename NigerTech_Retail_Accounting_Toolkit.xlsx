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ables/table4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Dashboard" sheetId="2" state="visible" r:id="rId2"/>
    <sheet xmlns:r="http://schemas.openxmlformats.org/officeDocument/2006/relationships" name="Sales Register" sheetId="3" state="visible" r:id="rId3"/>
    <sheet xmlns:r="http://schemas.openxmlformats.org/officeDocument/2006/relationships" name="Expense Register" sheetId="4" state="visible" r:id="rId4"/>
    <sheet xmlns:r="http://schemas.openxmlformats.org/officeDocument/2006/relationships" name="Cashbook" sheetId="5" state="visible" r:id="rId5"/>
    <sheet xmlns:r="http://schemas.openxmlformats.org/officeDocument/2006/relationships" name="Bank Reconciliation" sheetId="6" state="visible" r:id="rId6"/>
    <sheet xmlns:r="http://schemas.openxmlformats.org/officeDocument/2006/relationships" name="Inventory" sheetId="7" state="visible" r:id="rId7"/>
    <sheet xmlns:r="http://schemas.openxmlformats.org/officeDocument/2006/relationships" name="Trial Balance" sheetId="8" state="visible" r:id="rId8"/>
    <sheet xmlns:r="http://schemas.openxmlformats.org/officeDocument/2006/relationships" name="Income Statement" sheetId="9" state="visible" r:id="rId9"/>
    <sheet xmlns:r="http://schemas.openxmlformats.org/officeDocument/2006/relationships" name="Balance Sheet" sheetId="10" state="visible" r:id="rId10"/>
    <sheet xmlns:r="http://schemas.openxmlformats.org/officeDocument/2006/relationships" name="Budget vs Actual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-mmm-yyyy"/>
    <numFmt numFmtId="166" formatCode="₦#,##0.00"/>
    <numFmt numFmtId="167" formatCode="0.0%"/>
  </numFmts>
  <fonts count="9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7365D"/>
      <sz val="13"/>
    </font>
    <font>
      <b val="1"/>
      <color rgb="0017365D"/>
    </font>
    <font>
      <b val="1"/>
      <color rgb="0017365D"/>
      <sz val="12"/>
    </font>
    <font>
      <b val="1"/>
    </font>
    <font>
      <b val="1"/>
      <color rgb="00FFFFFF"/>
      <sz val="16"/>
    </font>
    <font>
      <i val="1"/>
      <color rgb="00666666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bottom style="thin">
        <color rgb="00D9E1F2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3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4" fillId="0" borderId="0" applyAlignment="1" pivotButton="0" quotePrefix="0" xfId="0">
      <alignment vertical="top"/>
    </xf>
    <xf numFmtId="0" fontId="5" fillId="0" borderId="0" applyAlignment="1" pivotButton="0" quotePrefix="0" xfId="0">
      <alignment vertical="top"/>
    </xf>
    <xf numFmtId="0" fontId="6" fillId="2" borderId="0" applyAlignment="1" pivotButton="0" quotePrefix="0" xfId="0">
      <alignment vertical="top"/>
    </xf>
    <xf numFmtId="0" fontId="7" fillId="0" borderId="0" applyAlignment="1" pivotButton="0" quotePrefix="0" xfId="0">
      <alignment vertical="top"/>
    </xf>
    <xf numFmtId="0" fontId="8" fillId="2" borderId="1" applyAlignment="1" pivotButton="0" quotePrefix="0" xfId="0">
      <alignment vertical="top" wrapText="1"/>
    </xf>
    <xf numFmtId="166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165" fontId="0" fillId="0" borderId="0" pivotButton="0" quotePrefix="0" xfId="0"/>
    <xf numFmtId="166" fontId="0" fillId="0" borderId="0" pivotButton="0" quotePrefix="0" xfId="0"/>
    <xf numFmtId="0" fontId="5" fillId="4" borderId="0" applyAlignment="1" pivotButton="0" quotePrefix="0" xfId="0">
      <alignment vertical="top"/>
    </xf>
    <xf numFmtId="166" fontId="5" fillId="4" borderId="0" applyAlignment="1" pivotButton="0" quotePrefix="0" xfId="0">
      <alignment vertical="top"/>
    </xf>
    <xf numFmtId="0" fontId="5" fillId="3" borderId="0" applyAlignment="1" pivotButton="0" quotePrefix="0" xfId="0">
      <alignment vertical="top"/>
    </xf>
    <xf numFmtId="166" fontId="5" fillId="3" borderId="0" applyAlignment="1" pivotButton="0" quotePrefix="0" xfId="0">
      <alignment vertical="top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Revenue and Expense Summary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'Dashboard'!$A$4:$A$6</f>
            </numRef>
          </cat>
          <val>
            <numRef>
              <f>'Dashboard'!$B$4:$B$6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Metric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(₦)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504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alesTable" displayName="SalesTable" ref="A3:H15" headerRowCount="1">
  <autoFilter ref="A3:H15"/>
  <tableColumns count="8">
    <tableColumn id="1" name="Date"/>
    <tableColumn id="2" name="Invoice No."/>
    <tableColumn id="3" name="Customer"/>
    <tableColumn id="4" name="Product"/>
    <tableColumn id="5" name="Qty"/>
    <tableColumn id="6" name="Unit Price (₦)"/>
    <tableColumn id="7" name="Sales (₦)"/>
    <tableColumn id="8" name="Payment Metho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ExpenseTable" displayName="ExpenseTable" ref="A3:F13" headerRowCount="1">
  <autoFilter ref="A3:F13"/>
  <tableColumns count="6">
    <tableColumn id="1" name="Date"/>
    <tableColumn id="2" name="Voucher No."/>
    <tableColumn id="3" name="Expense Category"/>
    <tableColumn id="4" name="Description"/>
    <tableColumn id="5" name="Payment Method"/>
    <tableColumn id="6" name="Amount (₦)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CashbookTable" displayName="CashbookTable" ref="A3:G25" headerRowCount="1">
  <autoFilter ref="A3:G25"/>
  <tableColumns count="7">
    <tableColumn id="1" name="Date"/>
    <tableColumn id="2" name="Reference"/>
    <tableColumn id="3" name="Narration"/>
    <tableColumn id="4" name="Account"/>
    <tableColumn id="5" name="Receipts (₦)"/>
    <tableColumn id="6" name="Payments (₦)"/>
    <tableColumn id="7" name="Running Balance (₦)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InventoryTable" displayName="InventoryTable" ref="A3:H8" headerRowCount="1">
  <autoFilter ref="A3:H8"/>
  <tableColumns count="8">
    <tableColumn id="1" name="SKU"/>
    <tableColumn id="2" name="Product"/>
    <tableColumn id="3" name="Opening Qty"/>
    <tableColumn id="4" name="Purchases Qty"/>
    <tableColumn id="5" name="Units Sold"/>
    <tableColumn id="6" name="Closing Qty"/>
    <tableColumn id="7" name="Unit Cost (₦)"/>
    <tableColumn id="8" name="Closing Value (₦)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32" customHeight="1">
      <c r="A1" s="1" t="inlineStr">
        <is>
          <t>ACCOUNTING PROJECT PORTFOLIO</t>
        </is>
      </c>
    </row>
    <row r="2"/>
    <row r="3">
      <c r="A3" s="2" t="inlineStr">
        <is>
          <t>Portfolio case study: NigerTech Retail Ltd. (fictional Nigerian SME)</t>
        </is>
      </c>
    </row>
    <row r="4"/>
    <row r="5" ht="42" customHeight="1">
      <c r="A5" s="3" t="inlineStr">
        <is>
          <t>Purpose</t>
        </is>
      </c>
      <c r="B5" s="4" t="inlineStr">
        <is>
          <t>Demonstrate practical bookkeeping, bank reconciliation, financial reporting, budgeting, inventory control, and management analysis.</t>
        </is>
      </c>
    </row>
    <row r="6" ht="42" customHeight="1">
      <c r="A6" s="3" t="inlineStr">
        <is>
          <t>Period</t>
        </is>
      </c>
      <c r="B6" s="4" t="inlineStr">
        <is>
          <t>Illustrative month: September 2026. All data are fictional and created for training/portfolio use.</t>
        </is>
      </c>
    </row>
    <row r="7" ht="42" customHeight="1">
      <c r="A7" s="3" t="inlineStr">
        <is>
          <t>Currency</t>
        </is>
      </c>
      <c r="B7" s="4" t="inlineStr">
        <is>
          <t>Nigerian naira (₦). Amounts are illustrative, not tax or investment advice.</t>
        </is>
      </c>
    </row>
    <row r="8" ht="42" customHeight="1">
      <c r="A8" s="3" t="inlineStr">
        <is>
          <t>Workbook workflow</t>
        </is>
      </c>
      <c r="B8" s="4" t="inlineStr">
        <is>
          <t>Review the raw registers first, then reconcile the bank, review the trial balance and statements, and finish with the management dashboard.</t>
        </is>
      </c>
    </row>
    <row r="9" ht="42" customHeight="1">
      <c r="A9" s="3" t="inlineStr">
        <is>
          <t>Quality control</t>
        </is>
      </c>
      <c r="B9" s="4" t="inlineStr">
        <is>
          <t>Check formula outputs, investigate reconciling items, and document assumptions before presenting any report to a client.</t>
        </is>
      </c>
    </row>
    <row r="10" ht="42" customHeight="1">
      <c r="A10" s="3" t="inlineStr">
        <is>
          <t>GitHub safety</t>
        </is>
      </c>
      <c r="B10" s="4" t="inlineStr">
        <is>
          <t>Upload only fictional/anonymized data. Do not upload client names, account numbers, passwords, tax IDs, or confidential records.</t>
        </is>
      </c>
    </row>
    <row r="11" ht="42" customHeight="1">
      <c r="A11" s="3" t="inlineStr">
        <is>
          <t>Portfolio use</t>
        </is>
      </c>
      <c r="B11" s="4" t="inlineStr">
        <is>
          <t>Pair this workbook with the PDF case report and README.md. Add screenshots of dashboards if useful, but avoid sensitive information.</t>
        </is>
      </c>
    </row>
    <row r="12"/>
    <row r="13"/>
    <row r="14">
      <c r="A14" s="5" t="inlineStr">
        <is>
          <t>Suggested repository name</t>
        </is>
      </c>
      <c r="B14" s="6" t="inlineStr">
        <is>
          <t>nigertech-retail-accounting-portfolio</t>
        </is>
      </c>
    </row>
    <row r="15"/>
    <row r="16">
      <c r="A16" s="7" t="inlineStr">
        <is>
          <t>Sheets included</t>
        </is>
      </c>
    </row>
    <row r="17">
      <c r="A17" s="8" t="inlineStr">
        <is>
          <t>Sales Register</t>
        </is>
      </c>
      <c r="B17" s="6" t="inlineStr">
        <is>
          <t>Daily sales records.</t>
        </is>
      </c>
    </row>
    <row r="18">
      <c r="A18" s="8" t="inlineStr">
        <is>
          <t>Expense Register</t>
        </is>
      </c>
      <c r="B18" s="6" t="inlineStr">
        <is>
          <t>Operating expense transactions.</t>
        </is>
      </c>
    </row>
    <row r="19">
      <c r="A19" s="8" t="inlineStr">
        <is>
          <t>Cashbook</t>
        </is>
      </c>
      <c r="B19" s="6" t="inlineStr">
        <is>
          <t>Cash and bank receipts/payments ledger.</t>
        </is>
      </c>
    </row>
    <row r="20">
      <c r="A20" s="8" t="inlineStr">
        <is>
          <t>Bank Reconciliation</t>
        </is>
      </c>
      <c r="B20" s="6" t="inlineStr">
        <is>
          <t>Illustrative bank statement matching and outstanding items.</t>
        </is>
      </c>
    </row>
    <row r="21">
      <c r="A21" s="8" t="inlineStr">
        <is>
          <t>Inventory</t>
        </is>
      </c>
      <c r="B21" s="6" t="inlineStr">
        <is>
          <t>Stock movement and closing inventory calculation.</t>
        </is>
      </c>
    </row>
    <row r="22">
      <c r="A22" s="8" t="inlineStr">
        <is>
          <t>Trial Balance</t>
        </is>
      </c>
      <c r="B22" s="6" t="inlineStr">
        <is>
          <t>Summary of selected ledger balances.</t>
        </is>
      </c>
    </row>
    <row r="23">
      <c r="A23" s="8" t="inlineStr">
        <is>
          <t>Income Statement</t>
        </is>
      </c>
      <c r="B23" s="6" t="inlineStr">
        <is>
          <t>Revenue, cost of sales, expenses, and profit.</t>
        </is>
      </c>
    </row>
    <row r="24">
      <c r="A24" s="8" t="inlineStr">
        <is>
          <t>Balance Sheet</t>
        </is>
      </c>
      <c r="B24" s="6" t="inlineStr">
        <is>
          <t>Illustrative assets, liabilities, and equity.</t>
        </is>
      </c>
    </row>
    <row r="25">
      <c r="A25" s="8" t="inlineStr">
        <is>
          <t>Budget vs Actual</t>
        </is>
      </c>
      <c r="B25" s="6" t="inlineStr">
        <is>
          <t>Management comparison and variance analysis.</t>
        </is>
      </c>
    </row>
    <row r="26">
      <c r="A26" s="8" t="inlineStr">
        <is>
          <t>Dashboard</t>
        </is>
      </c>
      <c r="B26" s="6" t="inlineStr">
        <is>
          <t>KPI summary and sales chart.</t>
        </is>
      </c>
    </row>
  </sheetData>
  <mergeCells count="20">
    <mergeCell ref="B7:F7"/>
    <mergeCell ref="B25:F25"/>
    <mergeCell ref="B22:F22"/>
    <mergeCell ref="A3:F3"/>
    <mergeCell ref="B18:F18"/>
    <mergeCell ref="B21:F21"/>
    <mergeCell ref="B11:F11"/>
    <mergeCell ref="B23:F23"/>
    <mergeCell ref="B14:F14"/>
    <mergeCell ref="B8:F8"/>
    <mergeCell ref="B17:F17"/>
    <mergeCell ref="B10:F10"/>
    <mergeCell ref="B19:F19"/>
    <mergeCell ref="B9:F9"/>
    <mergeCell ref="B6:F6"/>
    <mergeCell ref="B24:F24"/>
    <mergeCell ref="B20:F20"/>
    <mergeCell ref="A1:F1"/>
    <mergeCell ref="B5:F5"/>
    <mergeCell ref="B26:F26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9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22" customWidth="1" min="2" max="2"/>
    <col width="65" customWidth="1" min="3" max="3"/>
  </cols>
  <sheetData>
    <row r="1" ht="26" customHeight="1">
      <c r="A1" s="9" t="inlineStr">
        <is>
          <t>MANAGEMENT DASHBOARD</t>
        </is>
      </c>
    </row>
    <row r="2">
      <c r="A2" s="10" t="inlineStr">
        <is>
          <t>NigerTech Retail Ltd. | September 2026 | Fictional portfolio data</t>
        </is>
      </c>
    </row>
    <row r="3" ht="30" customHeight="1">
      <c r="A3" s="11" t="inlineStr">
        <is>
          <t>KPI</t>
        </is>
      </c>
      <c r="B3" s="11" t="inlineStr">
        <is>
          <t>Value</t>
        </is>
      </c>
      <c r="C3" s="11" t="inlineStr">
        <is>
          <t>Interpretation</t>
        </is>
      </c>
    </row>
    <row r="4">
      <c r="A4" s="6" t="inlineStr">
        <is>
          <t>Sales revenue</t>
        </is>
      </c>
      <c r="B4" s="12">
        <f>'Sales Register'!G17</f>
        <v/>
      </c>
      <c r="C4" s="6" t="inlineStr">
        <is>
          <t>Total recorded sales for the period.</t>
        </is>
      </c>
    </row>
    <row r="5">
      <c r="A5" s="6" t="inlineStr">
        <is>
          <t>Operating expenses</t>
        </is>
      </c>
      <c r="B5" s="12">
        <f>'Expense Register'!F15</f>
        <v/>
      </c>
      <c r="C5" s="6" t="inlineStr">
        <is>
          <t>Total listed operating expenses.</t>
        </is>
      </c>
    </row>
    <row r="6">
      <c r="A6" s="6" t="inlineStr">
        <is>
          <t>Cost of sales</t>
        </is>
      </c>
      <c r="B6" s="12">
        <f>'Income Statement'!B5</f>
        <v/>
      </c>
      <c r="C6" s="6" t="inlineStr">
        <is>
          <t>Calculated from units sold and unit cost.</t>
        </is>
      </c>
    </row>
    <row r="7">
      <c r="A7" s="6" t="inlineStr">
        <is>
          <t>Gross profit</t>
        </is>
      </c>
      <c r="B7" s="12">
        <f>'Income Statement'!B6</f>
        <v/>
      </c>
      <c r="C7" s="6" t="inlineStr">
        <is>
          <t>Revenue less cost of sales.</t>
        </is>
      </c>
    </row>
    <row r="8">
      <c r="A8" s="6" t="inlineStr">
        <is>
          <t>Net profit before tax</t>
        </is>
      </c>
      <c r="B8" s="12">
        <f>'Income Statement'!B8</f>
        <v/>
      </c>
      <c r="C8" s="6" t="inlineStr">
        <is>
          <t>Gross profit less listed operating expenses.</t>
        </is>
      </c>
    </row>
    <row r="9">
      <c r="A9" s="6" t="inlineStr">
        <is>
          <t>Closing inventory</t>
        </is>
      </c>
      <c r="B9" s="12">
        <f>Inventory!H10</f>
        <v/>
      </c>
      <c r="C9" s="6" t="inlineStr">
        <is>
          <t>Closing stock value based on the stock register.</t>
        </is>
      </c>
    </row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>
      <c r="A28" s="5" t="inlineStr">
        <is>
          <t>Dashboard caveat</t>
        </is>
      </c>
      <c r="B28" s="4" t="inlineStr">
        <is>
          <t>These indicators are illustrative and depend on the sample data and formula assumptions. Validate source data and accounting classifications before client delivery.</t>
        </is>
      </c>
    </row>
    <row r="29"/>
  </sheetData>
  <mergeCells count="3">
    <mergeCell ref="A2:E2"/>
    <mergeCell ref="A1:E1"/>
    <mergeCell ref="B28:F29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H1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2" customWidth="1" min="3" max="3"/>
    <col width="24" customWidth="1" min="4" max="4"/>
    <col width="10" customWidth="1" min="5" max="5"/>
    <col width="18" customWidth="1" min="6" max="6"/>
    <col width="18" customWidth="1" min="7" max="7"/>
    <col width="18" customWidth="1" min="8" max="8"/>
  </cols>
  <sheetData>
    <row r="1" ht="26" customHeight="1">
      <c r="A1" s="9" t="inlineStr">
        <is>
          <t>SALES REGISTER</t>
        </is>
      </c>
    </row>
    <row r="2">
      <c r="A2" s="10" t="inlineStr">
        <is>
          <t>NigerTech Retail Ltd. | September 2026 | Fictional training data</t>
        </is>
      </c>
    </row>
    <row r="3" ht="30" customHeight="1">
      <c r="A3" s="11" t="inlineStr">
        <is>
          <t>Date</t>
        </is>
      </c>
      <c r="B3" s="11" t="inlineStr">
        <is>
          <t>Invoice No.</t>
        </is>
      </c>
      <c r="C3" s="11" t="inlineStr">
        <is>
          <t>Customer</t>
        </is>
      </c>
      <c r="D3" s="11" t="inlineStr">
        <is>
          <t>Product</t>
        </is>
      </c>
      <c r="E3" s="11" t="inlineStr">
        <is>
          <t>Qty</t>
        </is>
      </c>
      <c r="F3" s="11" t="inlineStr">
        <is>
          <t>Unit Price (₦)</t>
        </is>
      </c>
      <c r="G3" s="11" t="inlineStr">
        <is>
          <t>Sales (₦)</t>
        </is>
      </c>
      <c r="H3" s="11" t="inlineStr">
        <is>
          <t>Payment Method</t>
        </is>
      </c>
    </row>
    <row r="4">
      <c r="A4" s="13" t="n">
        <v>46266</v>
      </c>
      <c r="B4" s="6" t="inlineStr">
        <is>
          <t>INV-001</t>
        </is>
      </c>
      <c r="C4" s="6" t="inlineStr">
        <is>
          <t>Walk-in Customer</t>
        </is>
      </c>
      <c r="D4" s="6" t="inlineStr">
        <is>
          <t>Laptop accessories</t>
        </is>
      </c>
      <c r="E4" s="6" t="n">
        <v>4</v>
      </c>
      <c r="F4" s="12" t="n">
        <v>18000</v>
      </c>
      <c r="G4" s="12">
        <f>E4*F4</f>
        <v/>
      </c>
      <c r="H4" s="6" t="inlineStr">
        <is>
          <t>Transfer</t>
        </is>
      </c>
    </row>
    <row r="5">
      <c r="A5" s="13" t="n">
        <v>46267</v>
      </c>
      <c r="B5" s="6" t="inlineStr">
        <is>
          <t>INV-002</t>
        </is>
      </c>
      <c r="C5" s="6" t="inlineStr">
        <is>
          <t>Brightway School</t>
        </is>
      </c>
      <c r="D5" s="6" t="inlineStr">
        <is>
          <t>Printer paper carton</t>
        </is>
      </c>
      <c r="E5" s="6" t="n">
        <v>10</v>
      </c>
      <c r="F5" s="12" t="n">
        <v>12500</v>
      </c>
      <c r="G5" s="12">
        <f>E5*F5</f>
        <v/>
      </c>
      <c r="H5" s="6" t="inlineStr">
        <is>
          <t>Bank</t>
        </is>
      </c>
    </row>
    <row r="6">
      <c r="A6" s="13" t="n">
        <v>46268</v>
      </c>
      <c r="B6" s="6" t="inlineStr">
        <is>
          <t>INV-003</t>
        </is>
      </c>
      <c r="C6" s="6" t="inlineStr">
        <is>
          <t>Walk-in Customer</t>
        </is>
      </c>
      <c r="D6" s="6" t="inlineStr">
        <is>
          <t>USB flash drive</t>
        </is>
      </c>
      <c r="E6" s="6" t="n">
        <v>15</v>
      </c>
      <c r="F6" s="12" t="n">
        <v>4500</v>
      </c>
      <c r="G6" s="12">
        <f>E6*F6</f>
        <v/>
      </c>
      <c r="H6" s="6" t="inlineStr">
        <is>
          <t>Cash</t>
        </is>
      </c>
    </row>
    <row r="7">
      <c r="A7" s="13" t="n">
        <v>46270</v>
      </c>
      <c r="B7" s="6" t="inlineStr">
        <is>
          <t>INV-004</t>
        </is>
      </c>
      <c r="C7" s="6" t="inlineStr">
        <is>
          <t>Oakline Ventures</t>
        </is>
      </c>
      <c r="D7" s="6" t="inlineStr">
        <is>
          <t>Wireless mouse</t>
        </is>
      </c>
      <c r="E7" s="6" t="n">
        <v>12</v>
      </c>
      <c r="F7" s="12" t="n">
        <v>6500</v>
      </c>
      <c r="G7" s="12">
        <f>E7*F7</f>
        <v/>
      </c>
      <c r="H7" s="6" t="inlineStr">
        <is>
          <t>Transfer</t>
        </is>
      </c>
    </row>
    <row r="8">
      <c r="A8" s="13" t="n">
        <v>46272</v>
      </c>
      <c r="B8" s="6" t="inlineStr">
        <is>
          <t>INV-005</t>
        </is>
      </c>
      <c r="C8" s="6" t="inlineStr">
        <is>
          <t>Walk-in Customer</t>
        </is>
      </c>
      <c r="D8" s="6" t="inlineStr">
        <is>
          <t>Keyboard</t>
        </is>
      </c>
      <c r="E8" s="6" t="n">
        <v>8</v>
      </c>
      <c r="F8" s="12" t="n">
        <v>8500</v>
      </c>
      <c r="G8" s="12">
        <f>E8*F8</f>
        <v/>
      </c>
      <c r="H8" s="6" t="inlineStr">
        <is>
          <t>Cash</t>
        </is>
      </c>
    </row>
    <row r="9">
      <c r="A9" s="13" t="n">
        <v>46274</v>
      </c>
      <c r="B9" s="6" t="inlineStr">
        <is>
          <t>INV-006</t>
        </is>
      </c>
      <c r="C9" s="6" t="inlineStr">
        <is>
          <t>Delta Tutors</t>
        </is>
      </c>
      <c r="D9" s="6" t="inlineStr">
        <is>
          <t>Printer paper carton</t>
        </is>
      </c>
      <c r="E9" s="6" t="n">
        <v>14</v>
      </c>
      <c r="F9" s="12" t="n">
        <v>12500</v>
      </c>
      <c r="G9" s="12">
        <f>E9*F9</f>
        <v/>
      </c>
      <c r="H9" s="6" t="inlineStr">
        <is>
          <t>Bank</t>
        </is>
      </c>
    </row>
    <row r="10">
      <c r="A10" s="13" t="n">
        <v>46277</v>
      </c>
      <c r="B10" s="6" t="inlineStr">
        <is>
          <t>INV-007</t>
        </is>
      </c>
      <c r="C10" s="6" t="inlineStr">
        <is>
          <t>Walk-in Customer</t>
        </is>
      </c>
      <c r="D10" s="6" t="inlineStr">
        <is>
          <t>Laptop accessories</t>
        </is>
      </c>
      <c r="E10" s="6" t="n">
        <v>6</v>
      </c>
      <c r="F10" s="12" t="n">
        <v>18000</v>
      </c>
      <c r="G10" s="12">
        <f>E10*F10</f>
        <v/>
      </c>
      <c r="H10" s="6" t="inlineStr">
        <is>
          <t>Transfer</t>
        </is>
      </c>
    </row>
    <row r="11">
      <c r="A11" s="13" t="n">
        <v>46280</v>
      </c>
      <c r="B11" s="6" t="inlineStr">
        <is>
          <t>INV-008</t>
        </is>
      </c>
      <c r="C11" s="6" t="inlineStr">
        <is>
          <t>Oakline Ventures</t>
        </is>
      </c>
      <c r="D11" s="6" t="inlineStr">
        <is>
          <t>USB flash drive</t>
        </is>
      </c>
      <c r="E11" s="6" t="n">
        <v>20</v>
      </c>
      <c r="F11" s="12" t="n">
        <v>4500</v>
      </c>
      <c r="G11" s="12">
        <f>E11*F11</f>
        <v/>
      </c>
      <c r="H11" s="6" t="inlineStr">
        <is>
          <t>Bank</t>
        </is>
      </c>
    </row>
    <row r="12">
      <c r="A12" s="13" t="n">
        <v>46283</v>
      </c>
      <c r="B12" s="6" t="inlineStr">
        <is>
          <t>INV-009</t>
        </is>
      </c>
      <c r="C12" s="6" t="inlineStr">
        <is>
          <t>Walk-in Customer</t>
        </is>
      </c>
      <c r="D12" s="6" t="inlineStr">
        <is>
          <t>Wireless mouse</t>
        </is>
      </c>
      <c r="E12" s="6" t="n">
        <v>10</v>
      </c>
      <c r="F12" s="12" t="n">
        <v>6500</v>
      </c>
      <c r="G12" s="12">
        <f>E12*F12</f>
        <v/>
      </c>
      <c r="H12" s="6" t="inlineStr">
        <is>
          <t>Cash</t>
        </is>
      </c>
    </row>
    <row r="13">
      <c r="A13" s="13" t="n">
        <v>46287</v>
      </c>
      <c r="B13" s="6" t="inlineStr">
        <is>
          <t>INV-010</t>
        </is>
      </c>
      <c r="C13" s="6" t="inlineStr">
        <is>
          <t>Brightway School</t>
        </is>
      </c>
      <c r="D13" s="6" t="inlineStr">
        <is>
          <t>Keyboard</t>
        </is>
      </c>
      <c r="E13" s="6" t="n">
        <v>10</v>
      </c>
      <c r="F13" s="12" t="n">
        <v>8500</v>
      </c>
      <c r="G13" s="12">
        <f>E13*F13</f>
        <v/>
      </c>
      <c r="H13" s="6" t="inlineStr">
        <is>
          <t>Transfer</t>
        </is>
      </c>
    </row>
    <row r="14">
      <c r="A14" s="13" t="n">
        <v>46291</v>
      </c>
      <c r="B14" s="6" t="inlineStr">
        <is>
          <t>INV-011</t>
        </is>
      </c>
      <c r="C14" s="6" t="inlineStr">
        <is>
          <t>Walk-in Customer</t>
        </is>
      </c>
      <c r="D14" s="6" t="inlineStr">
        <is>
          <t>Printer paper carton</t>
        </is>
      </c>
      <c r="E14" s="6" t="n">
        <v>8</v>
      </c>
      <c r="F14" s="12" t="n">
        <v>12500</v>
      </c>
      <c r="G14" s="12">
        <f>E14*F14</f>
        <v/>
      </c>
      <c r="H14" s="6" t="inlineStr">
        <is>
          <t>Cash</t>
        </is>
      </c>
    </row>
    <row r="15">
      <c r="A15" s="13" t="n">
        <v>46294</v>
      </c>
      <c r="B15" s="6" t="inlineStr">
        <is>
          <t>INV-012</t>
        </is>
      </c>
      <c r="C15" s="6" t="inlineStr">
        <is>
          <t>Delta Tutors</t>
        </is>
      </c>
      <c r="D15" s="6" t="inlineStr">
        <is>
          <t>Laptop accessories</t>
        </is>
      </c>
      <c r="E15" s="6" t="n">
        <v>5</v>
      </c>
      <c r="F15" s="12" t="n">
        <v>18000</v>
      </c>
      <c r="G15" s="12">
        <f>E15*F15</f>
        <v/>
      </c>
      <c r="H15" s="6" t="inlineStr">
        <is>
          <t>Bank</t>
        </is>
      </c>
    </row>
    <row r="16">
      <c r="A16" s="14" t="n"/>
      <c r="F16" s="15" t="n"/>
      <c r="G16" s="15" t="n"/>
    </row>
    <row r="17">
      <c r="A17" s="14" t="n"/>
      <c r="F17" s="12" t="inlineStr">
        <is>
          <t>TOTAL</t>
        </is>
      </c>
      <c r="G17" s="12">
        <f>SUM(G4:G15)</f>
        <v/>
      </c>
    </row>
  </sheetData>
  <mergeCells count="2">
    <mergeCell ref="A2:E2"/>
    <mergeCell ref="A1:E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0" customWidth="1" min="3" max="3"/>
    <col width="32" customWidth="1" min="4" max="4"/>
    <col width="18" customWidth="1" min="5" max="5"/>
    <col width="18" customWidth="1" min="6" max="6"/>
  </cols>
  <sheetData>
    <row r="1" ht="26" customHeight="1">
      <c r="A1" s="9" t="inlineStr">
        <is>
          <t>EXPENSE REGISTER</t>
        </is>
      </c>
    </row>
    <row r="2">
      <c r="A2" s="10" t="inlineStr">
        <is>
          <t>Operating expenses | September 2026 | Fictional training data</t>
        </is>
      </c>
    </row>
    <row r="3" ht="30" customHeight="1">
      <c r="A3" s="11" t="inlineStr">
        <is>
          <t>Date</t>
        </is>
      </c>
      <c r="B3" s="11" t="inlineStr">
        <is>
          <t>Voucher No.</t>
        </is>
      </c>
      <c r="C3" s="11" t="inlineStr">
        <is>
          <t>Expense Category</t>
        </is>
      </c>
      <c r="D3" s="11" t="inlineStr">
        <is>
          <t>Description</t>
        </is>
      </c>
      <c r="E3" s="11" t="inlineStr">
        <is>
          <t>Payment Method</t>
        </is>
      </c>
      <c r="F3" s="11" t="inlineStr">
        <is>
          <t>Amount (₦)</t>
        </is>
      </c>
    </row>
    <row r="4">
      <c r="A4" s="13" t="n">
        <v>46267</v>
      </c>
      <c r="B4" s="6" t="inlineStr">
        <is>
          <t>PV-001</t>
        </is>
      </c>
      <c r="C4" s="6" t="inlineStr">
        <is>
          <t>Rent</t>
        </is>
      </c>
      <c r="D4" s="6" t="inlineStr">
        <is>
          <t>Monthly shop rent allocation</t>
        </is>
      </c>
      <c r="E4" s="6" t="inlineStr">
        <is>
          <t>Bank</t>
        </is>
      </c>
      <c r="F4" s="12" t="n">
        <v>120000</v>
      </c>
    </row>
    <row r="5">
      <c r="A5" s="13" t="n">
        <v>46269</v>
      </c>
      <c r="B5" s="6" t="inlineStr">
        <is>
          <t>PV-002</t>
        </is>
      </c>
      <c r="C5" s="6" t="inlineStr">
        <is>
          <t>Transport</t>
        </is>
      </c>
      <c r="D5" s="6" t="inlineStr">
        <is>
          <t>Delivery and logistics</t>
        </is>
      </c>
      <c r="E5" s="6" t="inlineStr">
        <is>
          <t>Cash</t>
        </is>
      </c>
      <c r="F5" s="12" t="n">
        <v>18500</v>
      </c>
    </row>
    <row r="6">
      <c r="A6" s="13" t="n">
        <v>46271</v>
      </c>
      <c r="B6" s="6" t="inlineStr">
        <is>
          <t>PV-003</t>
        </is>
      </c>
      <c r="C6" s="6" t="inlineStr">
        <is>
          <t>Internet</t>
        </is>
      </c>
      <c r="D6" s="6" t="inlineStr">
        <is>
          <t>Internet subscription</t>
        </is>
      </c>
      <c r="E6" s="6" t="inlineStr">
        <is>
          <t>Transfer</t>
        </is>
      </c>
      <c r="F6" s="12" t="n">
        <v>15000</v>
      </c>
    </row>
    <row r="7">
      <c r="A7" s="13" t="n">
        <v>46273</v>
      </c>
      <c r="B7" s="6" t="inlineStr">
        <is>
          <t>PV-004</t>
        </is>
      </c>
      <c r="C7" s="6" t="inlineStr">
        <is>
          <t>Utilities</t>
        </is>
      </c>
      <c r="D7" s="6" t="inlineStr">
        <is>
          <t>Electricity and utilities</t>
        </is>
      </c>
      <c r="E7" s="6" t="inlineStr">
        <is>
          <t>Cash</t>
        </is>
      </c>
      <c r="F7" s="12" t="n">
        <v>22000</v>
      </c>
    </row>
    <row r="8">
      <c r="A8" s="13" t="n">
        <v>46276</v>
      </c>
      <c r="B8" s="6" t="inlineStr">
        <is>
          <t>PV-005</t>
        </is>
      </c>
      <c r="C8" s="6" t="inlineStr">
        <is>
          <t>Salaries</t>
        </is>
      </c>
      <c r="D8" s="6" t="inlineStr">
        <is>
          <t>Staff wages</t>
        </is>
      </c>
      <c r="E8" s="6" t="inlineStr">
        <is>
          <t>Bank</t>
        </is>
      </c>
      <c r="F8" s="12" t="n">
        <v>160000</v>
      </c>
    </row>
    <row r="9">
      <c r="A9" s="13" t="n">
        <v>46279</v>
      </c>
      <c r="B9" s="6" t="inlineStr">
        <is>
          <t>PV-006</t>
        </is>
      </c>
      <c r="C9" s="6" t="inlineStr">
        <is>
          <t>Marketing</t>
        </is>
      </c>
      <c r="D9" s="6" t="inlineStr">
        <is>
          <t>Social media promotion</t>
        </is>
      </c>
      <c r="E9" s="6" t="inlineStr">
        <is>
          <t>Transfer</t>
        </is>
      </c>
      <c r="F9" s="12" t="n">
        <v>25000</v>
      </c>
    </row>
    <row r="10">
      <c r="A10" s="13" t="n">
        <v>46282</v>
      </c>
      <c r="B10" s="6" t="inlineStr">
        <is>
          <t>PV-007</t>
        </is>
      </c>
      <c r="C10" s="6" t="inlineStr">
        <is>
          <t>Repairs</t>
        </is>
      </c>
      <c r="D10" s="6" t="inlineStr">
        <is>
          <t>Minor shop repairs</t>
        </is>
      </c>
      <c r="E10" s="6" t="inlineStr">
        <is>
          <t>Cash</t>
        </is>
      </c>
      <c r="F10" s="12" t="n">
        <v>12000</v>
      </c>
    </row>
    <row r="11">
      <c r="A11" s="13" t="n">
        <v>46285</v>
      </c>
      <c r="B11" s="6" t="inlineStr">
        <is>
          <t>PV-008</t>
        </is>
      </c>
      <c r="C11" s="6" t="inlineStr">
        <is>
          <t>Transport</t>
        </is>
      </c>
      <c r="D11" s="6" t="inlineStr">
        <is>
          <t>Supplier collection</t>
        </is>
      </c>
      <c r="E11" s="6" t="inlineStr">
        <is>
          <t>Cash</t>
        </is>
      </c>
      <c r="F11" s="12" t="n">
        <v>14500</v>
      </c>
    </row>
    <row r="12">
      <c r="A12" s="13" t="n">
        <v>46288</v>
      </c>
      <c r="B12" s="6" t="inlineStr">
        <is>
          <t>PV-009</t>
        </is>
      </c>
      <c r="C12" s="6" t="inlineStr">
        <is>
          <t>Bank Charges</t>
        </is>
      </c>
      <c r="D12" s="6" t="inlineStr">
        <is>
          <t>Bank fees</t>
        </is>
      </c>
      <c r="E12" s="6" t="inlineStr">
        <is>
          <t>Bank</t>
        </is>
      </c>
      <c r="F12" s="12" t="n">
        <v>3500</v>
      </c>
    </row>
    <row r="13">
      <c r="A13" s="13" t="n">
        <v>46292</v>
      </c>
      <c r="B13" s="6" t="inlineStr">
        <is>
          <t>PV-010</t>
        </is>
      </c>
      <c r="C13" s="6" t="inlineStr">
        <is>
          <t>Office Supplies</t>
        </is>
      </c>
      <c r="D13" s="6" t="inlineStr">
        <is>
          <t>Receipt books and stationery</t>
        </is>
      </c>
      <c r="E13" s="6" t="inlineStr">
        <is>
          <t>Cash</t>
        </is>
      </c>
      <c r="F13" s="12" t="n">
        <v>9500</v>
      </c>
    </row>
    <row r="14"/>
    <row r="15">
      <c r="E15" s="6" t="inlineStr">
        <is>
          <t>TOTAL</t>
        </is>
      </c>
      <c r="F15" s="12">
        <f>SUM(F4:F13)</f>
        <v/>
      </c>
    </row>
  </sheetData>
  <mergeCells count="2">
    <mergeCell ref="A2:E2"/>
    <mergeCell ref="A1:E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G2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14" customWidth="1" min="4" max="4"/>
    <col width="18" customWidth="1" min="5" max="5"/>
    <col width="18" customWidth="1" min="6" max="6"/>
    <col width="22" customWidth="1" min="7" max="7"/>
  </cols>
  <sheetData>
    <row r="1" ht="26" customHeight="1">
      <c r="A1" s="9" t="inlineStr">
        <is>
          <t>CASHBOOK</t>
        </is>
      </c>
    </row>
    <row r="2">
      <c r="A2" s="10" t="inlineStr">
        <is>
          <t>Illustrative cash/bank transactions | September 2026</t>
        </is>
      </c>
    </row>
    <row r="3" ht="30" customHeight="1">
      <c r="A3" s="11" t="inlineStr">
        <is>
          <t>Date</t>
        </is>
      </c>
      <c r="B3" s="11" t="inlineStr">
        <is>
          <t>Reference</t>
        </is>
      </c>
      <c r="C3" s="11" t="inlineStr">
        <is>
          <t>Narration</t>
        </is>
      </c>
      <c r="D3" s="11" t="inlineStr">
        <is>
          <t>Account</t>
        </is>
      </c>
      <c r="E3" s="11" t="inlineStr">
        <is>
          <t>Receipts (₦)</t>
        </is>
      </c>
      <c r="F3" s="11" t="inlineStr">
        <is>
          <t>Payments (₦)</t>
        </is>
      </c>
      <c r="G3" s="11" t="inlineStr">
        <is>
          <t>Running Balance (₦)</t>
        </is>
      </c>
    </row>
    <row r="4">
      <c r="A4" s="13" t="n">
        <v>46266</v>
      </c>
      <c r="B4" s="6" t="inlineStr">
        <is>
          <t>OB-001</t>
        </is>
      </c>
      <c r="C4" s="6" t="inlineStr">
        <is>
          <t>Opening bank balance</t>
        </is>
      </c>
      <c r="D4" s="6" t="inlineStr">
        <is>
          <t>Bank</t>
        </is>
      </c>
      <c r="E4" s="12" t="n">
        <v>500000</v>
      </c>
      <c r="F4" s="12" t="n">
        <v>0</v>
      </c>
      <c r="G4" s="12">
        <f>E4-F4</f>
        <v/>
      </c>
    </row>
    <row r="5">
      <c r="A5" s="13" t="n">
        <v>46266</v>
      </c>
      <c r="B5" s="6" t="inlineStr">
        <is>
          <t>INV-001</t>
        </is>
      </c>
      <c r="C5" s="6" t="inlineStr">
        <is>
          <t>Sales receipt</t>
        </is>
      </c>
      <c r="D5" s="6" t="inlineStr">
        <is>
          <t>Bank</t>
        </is>
      </c>
      <c r="E5" s="12" t="n">
        <v>72000</v>
      </c>
      <c r="F5" s="12" t="n">
        <v>0</v>
      </c>
      <c r="G5" s="12">
        <f>G4+E5-F5</f>
        <v/>
      </c>
    </row>
    <row r="6">
      <c r="A6" s="13" t="n">
        <v>46267</v>
      </c>
      <c r="B6" s="6" t="inlineStr">
        <is>
          <t>PV-001</t>
        </is>
      </c>
      <c r="C6" s="6" t="inlineStr">
        <is>
          <t>Rent</t>
        </is>
      </c>
      <c r="D6" s="6" t="inlineStr">
        <is>
          <t>Bank</t>
        </is>
      </c>
      <c r="E6" s="12" t="n">
        <v>0</v>
      </c>
      <c r="F6" s="12" t="n">
        <v>120000</v>
      </c>
      <c r="G6" s="12">
        <f>G5+E6-F6</f>
        <v/>
      </c>
    </row>
    <row r="7">
      <c r="A7" s="13" t="n">
        <v>46267</v>
      </c>
      <c r="B7" s="6" t="inlineStr">
        <is>
          <t>INV-002</t>
        </is>
      </c>
      <c r="C7" s="6" t="inlineStr">
        <is>
          <t>Sales receipt</t>
        </is>
      </c>
      <c r="D7" s="6" t="inlineStr">
        <is>
          <t>Bank</t>
        </is>
      </c>
      <c r="E7" s="12" t="n">
        <v>125000</v>
      </c>
      <c r="F7" s="12" t="n">
        <v>0</v>
      </c>
      <c r="G7" s="12">
        <f>G6+E7-F7</f>
        <v/>
      </c>
    </row>
    <row r="8">
      <c r="A8" s="13" t="n">
        <v>46268</v>
      </c>
      <c r="B8" s="6" t="inlineStr">
        <is>
          <t>INV-003</t>
        </is>
      </c>
      <c r="C8" s="6" t="inlineStr">
        <is>
          <t>Cash sales</t>
        </is>
      </c>
      <c r="D8" s="6" t="inlineStr">
        <is>
          <t>Cash</t>
        </is>
      </c>
      <c r="E8" s="12" t="n">
        <v>67500</v>
      </c>
      <c r="F8" s="12" t="n">
        <v>0</v>
      </c>
      <c r="G8" s="12">
        <f>G7+E8-F8</f>
        <v/>
      </c>
    </row>
    <row r="9">
      <c r="A9" s="13" t="n">
        <v>46269</v>
      </c>
      <c r="B9" s="6" t="inlineStr">
        <is>
          <t>PV-002</t>
        </is>
      </c>
      <c r="C9" s="6" t="inlineStr">
        <is>
          <t>Transport</t>
        </is>
      </c>
      <c r="D9" s="6" t="inlineStr">
        <is>
          <t>Cash</t>
        </is>
      </c>
      <c r="E9" s="12" t="n">
        <v>0</v>
      </c>
      <c r="F9" s="12" t="n">
        <v>18500</v>
      </c>
      <c r="G9" s="12">
        <f>G8+E9-F9</f>
        <v/>
      </c>
    </row>
    <row r="10">
      <c r="A10" s="13" t="n">
        <v>46271</v>
      </c>
      <c r="B10" s="6" t="inlineStr">
        <is>
          <t>PV-003</t>
        </is>
      </c>
      <c r="C10" s="6" t="inlineStr">
        <is>
          <t>Internet</t>
        </is>
      </c>
      <c r="D10" s="6" t="inlineStr">
        <is>
          <t>Bank</t>
        </is>
      </c>
      <c r="E10" s="12" t="n">
        <v>0</v>
      </c>
      <c r="F10" s="12" t="n">
        <v>15000</v>
      </c>
      <c r="G10" s="12">
        <f>G9+E10-F10</f>
        <v/>
      </c>
    </row>
    <row r="11">
      <c r="A11" s="13" t="n">
        <v>46272</v>
      </c>
      <c r="B11" s="6" t="inlineStr">
        <is>
          <t>INV-005</t>
        </is>
      </c>
      <c r="C11" s="6" t="inlineStr">
        <is>
          <t>Cash sales</t>
        </is>
      </c>
      <c r="D11" s="6" t="inlineStr">
        <is>
          <t>Cash</t>
        </is>
      </c>
      <c r="E11" s="12" t="n">
        <v>68000</v>
      </c>
      <c r="F11" s="12" t="n">
        <v>0</v>
      </c>
      <c r="G11" s="12">
        <f>G10+E11-F11</f>
        <v/>
      </c>
    </row>
    <row r="12">
      <c r="A12" s="13" t="n">
        <v>46273</v>
      </c>
      <c r="B12" s="6" t="inlineStr">
        <is>
          <t>PV-004</t>
        </is>
      </c>
      <c r="C12" s="6" t="inlineStr">
        <is>
          <t>Utilities</t>
        </is>
      </c>
      <c r="D12" s="6" t="inlineStr">
        <is>
          <t>Cash</t>
        </is>
      </c>
      <c r="E12" s="12" t="n">
        <v>0</v>
      </c>
      <c r="F12" s="12" t="n">
        <v>22000</v>
      </c>
      <c r="G12" s="12">
        <f>G11+E12-F12</f>
        <v/>
      </c>
    </row>
    <row r="13">
      <c r="A13" s="13" t="n">
        <v>46274</v>
      </c>
      <c r="B13" s="6" t="inlineStr">
        <is>
          <t>INV-006</t>
        </is>
      </c>
      <c r="C13" s="6" t="inlineStr">
        <is>
          <t>Sales receipt</t>
        </is>
      </c>
      <c r="D13" s="6" t="inlineStr">
        <is>
          <t>Bank</t>
        </is>
      </c>
      <c r="E13" s="12" t="n">
        <v>175000</v>
      </c>
      <c r="F13" s="12" t="n">
        <v>0</v>
      </c>
      <c r="G13" s="12">
        <f>G12+E13-F13</f>
        <v/>
      </c>
    </row>
    <row r="14">
      <c r="A14" s="13" t="n">
        <v>46276</v>
      </c>
      <c r="B14" s="6" t="inlineStr">
        <is>
          <t>PV-005</t>
        </is>
      </c>
      <c r="C14" s="6" t="inlineStr">
        <is>
          <t>Staff wages</t>
        </is>
      </c>
      <c r="D14" s="6" t="inlineStr">
        <is>
          <t>Bank</t>
        </is>
      </c>
      <c r="E14" s="12" t="n">
        <v>0</v>
      </c>
      <c r="F14" s="12" t="n">
        <v>160000</v>
      </c>
      <c r="G14" s="12">
        <f>G13+E14-F14</f>
        <v/>
      </c>
    </row>
    <row r="15">
      <c r="A15" s="13" t="n">
        <v>46277</v>
      </c>
      <c r="B15" s="6" t="inlineStr">
        <is>
          <t>INV-007</t>
        </is>
      </c>
      <c r="C15" s="6" t="inlineStr">
        <is>
          <t>Sales receipt</t>
        </is>
      </c>
      <c r="D15" s="6" t="inlineStr">
        <is>
          <t>Bank</t>
        </is>
      </c>
      <c r="E15" s="12" t="n">
        <v>108000</v>
      </c>
      <c r="F15" s="12" t="n">
        <v>0</v>
      </c>
      <c r="G15" s="12">
        <f>G14+E15-F15</f>
        <v/>
      </c>
    </row>
    <row r="16">
      <c r="A16" s="13" t="n">
        <v>46279</v>
      </c>
      <c r="B16" s="6" t="inlineStr">
        <is>
          <t>PV-006</t>
        </is>
      </c>
      <c r="C16" s="6" t="inlineStr">
        <is>
          <t>Marketing</t>
        </is>
      </c>
      <c r="D16" s="6" t="inlineStr">
        <is>
          <t>Bank</t>
        </is>
      </c>
      <c r="E16" s="12" t="n">
        <v>0</v>
      </c>
      <c r="F16" s="12" t="n">
        <v>25000</v>
      </c>
      <c r="G16" s="12">
        <f>G15+E16-F16</f>
        <v/>
      </c>
    </row>
    <row r="17">
      <c r="A17" s="13" t="n">
        <v>46280</v>
      </c>
      <c r="B17" s="6" t="inlineStr">
        <is>
          <t>INV-008</t>
        </is>
      </c>
      <c r="C17" s="6" t="inlineStr">
        <is>
          <t>Sales receipt</t>
        </is>
      </c>
      <c r="D17" s="6" t="inlineStr">
        <is>
          <t>Bank</t>
        </is>
      </c>
      <c r="E17" s="12" t="n">
        <v>90000</v>
      </c>
      <c r="F17" s="12" t="n">
        <v>0</v>
      </c>
      <c r="G17" s="12">
        <f>G16+E17-F17</f>
        <v/>
      </c>
    </row>
    <row r="18">
      <c r="A18" s="13" t="n">
        <v>46282</v>
      </c>
      <c r="B18" s="6" t="inlineStr">
        <is>
          <t>PV-007</t>
        </is>
      </c>
      <c r="C18" s="6" t="inlineStr">
        <is>
          <t>Repairs</t>
        </is>
      </c>
      <c r="D18" s="6" t="inlineStr">
        <is>
          <t>Cash</t>
        </is>
      </c>
      <c r="E18" s="12" t="n">
        <v>0</v>
      </c>
      <c r="F18" s="12" t="n">
        <v>12000</v>
      </c>
      <c r="G18" s="12">
        <f>G17+E18-F18</f>
        <v/>
      </c>
    </row>
    <row r="19">
      <c r="A19" s="13" t="n">
        <v>46283</v>
      </c>
      <c r="B19" s="6" t="inlineStr">
        <is>
          <t>INV-009</t>
        </is>
      </c>
      <c r="C19" s="6" t="inlineStr">
        <is>
          <t>Cash sales</t>
        </is>
      </c>
      <c r="D19" s="6" t="inlineStr">
        <is>
          <t>Cash</t>
        </is>
      </c>
      <c r="E19" s="12" t="n">
        <v>65000</v>
      </c>
      <c r="F19" s="12" t="n">
        <v>0</v>
      </c>
      <c r="G19" s="12">
        <f>G18+E19-F19</f>
        <v/>
      </c>
    </row>
    <row r="20">
      <c r="A20" s="13" t="n">
        <v>46285</v>
      </c>
      <c r="B20" s="6" t="inlineStr">
        <is>
          <t>PV-008</t>
        </is>
      </c>
      <c r="C20" s="6" t="inlineStr">
        <is>
          <t>Transport</t>
        </is>
      </c>
      <c r="D20" s="6" t="inlineStr">
        <is>
          <t>Cash</t>
        </is>
      </c>
      <c r="E20" s="12" t="n">
        <v>0</v>
      </c>
      <c r="F20" s="12" t="n">
        <v>14500</v>
      </c>
      <c r="G20" s="12">
        <f>G19+E20-F20</f>
        <v/>
      </c>
    </row>
    <row r="21">
      <c r="A21" s="13" t="n">
        <v>46287</v>
      </c>
      <c r="B21" s="6" t="inlineStr">
        <is>
          <t>INV-010</t>
        </is>
      </c>
      <c r="C21" s="6" t="inlineStr">
        <is>
          <t>Sales receipt</t>
        </is>
      </c>
      <c r="D21" s="6" t="inlineStr">
        <is>
          <t>Bank</t>
        </is>
      </c>
      <c r="E21" s="12" t="n">
        <v>85000</v>
      </c>
      <c r="F21" s="12" t="n">
        <v>0</v>
      </c>
      <c r="G21" s="12">
        <f>G20+E21-F21</f>
        <v/>
      </c>
    </row>
    <row r="22">
      <c r="A22" s="13" t="n">
        <v>46288</v>
      </c>
      <c r="B22" s="6" t="inlineStr">
        <is>
          <t>PV-009</t>
        </is>
      </c>
      <c r="C22" s="6" t="inlineStr">
        <is>
          <t>Bank charges</t>
        </is>
      </c>
      <c r="D22" s="6" t="inlineStr">
        <is>
          <t>Bank</t>
        </is>
      </c>
      <c r="E22" s="12" t="n">
        <v>0</v>
      </c>
      <c r="F22" s="12" t="n">
        <v>3500</v>
      </c>
      <c r="G22" s="12">
        <f>G21+E22-F22</f>
        <v/>
      </c>
    </row>
    <row r="23">
      <c r="A23" s="13" t="n">
        <v>46291</v>
      </c>
      <c r="B23" s="6" t="inlineStr">
        <is>
          <t>INV-011</t>
        </is>
      </c>
      <c r="C23" s="6" t="inlineStr">
        <is>
          <t>Cash sales</t>
        </is>
      </c>
      <c r="D23" s="6" t="inlineStr">
        <is>
          <t>Cash</t>
        </is>
      </c>
      <c r="E23" s="12" t="n">
        <v>100000</v>
      </c>
      <c r="F23" s="12" t="n">
        <v>0</v>
      </c>
      <c r="G23" s="12">
        <f>G22+E23-F23</f>
        <v/>
      </c>
    </row>
    <row r="24">
      <c r="A24" s="13" t="n">
        <v>46292</v>
      </c>
      <c r="B24" s="6" t="inlineStr">
        <is>
          <t>PV-010</t>
        </is>
      </c>
      <c r="C24" s="6" t="inlineStr">
        <is>
          <t>Office supplies</t>
        </is>
      </c>
      <c r="D24" s="6" t="inlineStr">
        <is>
          <t>Cash</t>
        </is>
      </c>
      <c r="E24" s="12" t="n">
        <v>0</v>
      </c>
      <c r="F24" s="12" t="n">
        <v>9500</v>
      </c>
      <c r="G24" s="12">
        <f>G23+E24-F24</f>
        <v/>
      </c>
    </row>
    <row r="25">
      <c r="A25" s="13" t="n">
        <v>46294</v>
      </c>
      <c r="B25" s="6" t="inlineStr">
        <is>
          <t>INV-012</t>
        </is>
      </c>
      <c r="C25" s="6" t="inlineStr">
        <is>
          <t>Sales receipt</t>
        </is>
      </c>
      <c r="D25" s="6" t="inlineStr">
        <is>
          <t>Bank</t>
        </is>
      </c>
      <c r="E25" s="12" t="n">
        <v>90000</v>
      </c>
      <c r="F25" s="12" t="n">
        <v>0</v>
      </c>
      <c r="G25" s="12">
        <f>G24+E25-F25</f>
        <v/>
      </c>
    </row>
  </sheetData>
  <mergeCells count="2">
    <mergeCell ref="A2:E2"/>
    <mergeCell ref="A1:E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E1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2" customWidth="1" min="2" max="2"/>
    <col width="70" customWidth="1" min="3" max="3"/>
  </cols>
  <sheetData>
    <row r="1" ht="26" customHeight="1">
      <c r="A1" s="9" t="inlineStr">
        <is>
          <t>BANK RECONCILIATION</t>
        </is>
      </c>
    </row>
    <row r="2">
      <c r="A2" s="10" t="inlineStr">
        <is>
          <t>Illustrative reconciliation | Reconcile book balance to bank statement</t>
        </is>
      </c>
    </row>
    <row r="3" ht="30" customHeight="1">
      <c r="A3" s="11" t="inlineStr">
        <is>
          <t>Item</t>
        </is>
      </c>
      <c r="B3" s="11" t="inlineStr">
        <is>
          <t>Amount (₦)</t>
        </is>
      </c>
      <c r="C3" s="11" t="inlineStr">
        <is>
          <t>Treatment / Notes</t>
        </is>
      </c>
    </row>
    <row r="4">
      <c r="A4" s="6" t="inlineStr">
        <is>
          <t>Cashbook bank balance per ledger</t>
        </is>
      </c>
      <c r="B4" s="12">
        <f>SUM(Cashbook!E4:E25)-SUM(Cashbook!F4:F25)</f>
        <v/>
      </c>
      <c r="C4" s="6" t="inlineStr">
        <is>
          <t>Based on bank-tagged transactions; see assumption below.</t>
        </is>
      </c>
    </row>
    <row r="5">
      <c r="A5" s="6" t="inlineStr">
        <is>
          <t>Add: Deposit in transit</t>
        </is>
      </c>
      <c r="B5" s="12" t="n">
        <v>45000</v>
      </c>
      <c r="C5" s="6" t="inlineStr">
        <is>
          <t>Recorded in cashbook, not yet reflected by bank.</t>
        </is>
      </c>
    </row>
    <row r="6">
      <c r="A6" s="6" t="inlineStr">
        <is>
          <t>Less: Unpresented payment</t>
        </is>
      </c>
      <c r="B6" s="12" t="n">
        <v>-30000</v>
      </c>
      <c r="C6" s="6" t="inlineStr">
        <is>
          <t>Payment issued and recorded, not yet cleared.</t>
        </is>
      </c>
    </row>
    <row r="7">
      <c r="A7" s="6" t="inlineStr">
        <is>
          <t>Adjusted bank balance</t>
        </is>
      </c>
      <c r="B7" s="12">
        <f>B5+B6+B7</f>
        <v/>
      </c>
      <c r="C7" s="6" t="inlineStr">
        <is>
          <t>Should agree with adjusted bank statement balance.</t>
        </is>
      </c>
    </row>
    <row r="8">
      <c r="A8" s="6" t="inlineStr">
        <is>
          <t>Bank statement balance (illustrative)</t>
        </is>
      </c>
      <c r="B8" s="12" t="n">
        <v>0</v>
      </c>
      <c r="C8" s="6" t="inlineStr">
        <is>
          <t>Enter the actual statement balance for a real engagement.</t>
        </is>
      </c>
    </row>
    <row r="9">
      <c r="A9" s="6" t="inlineStr">
        <is>
          <t>Difference to investigate</t>
        </is>
      </c>
      <c r="B9" s="12">
        <f>B8-B9</f>
        <v/>
      </c>
      <c r="C9" s="6" t="inlineStr">
        <is>
          <t>A non-zero difference requires investigation.</t>
        </is>
      </c>
    </row>
    <row r="10"/>
    <row r="11">
      <c r="A11" s="5" t="inlineStr">
        <is>
          <t>Control note</t>
        </is>
      </c>
      <c r="B11" s="4" t="inlineStr">
        <is>
          <t>This is a training template, not a completed real bank reconciliation. Confirm which cashbook transactions are bank transactions and enter the real bank statement closing balance.</t>
        </is>
      </c>
    </row>
    <row r="12"/>
  </sheetData>
  <mergeCells count="3">
    <mergeCell ref="A2:E2"/>
    <mergeCell ref="A1:E1"/>
    <mergeCell ref="B11:C12"/>
  </mergeCells>
  <pageMargins left="0.75" right="0.75" top="1" bottom="1" header="0.5" footer="0.5"/>
  <pageSetup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10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6" customWidth="1" min="2" max="2"/>
    <col width="14" customWidth="1" min="3" max="3"/>
    <col width="15" customWidth="1" min="4" max="4"/>
    <col width="13" customWidth="1" min="5" max="5"/>
    <col width="13" customWidth="1" min="6" max="6"/>
    <col width="18" customWidth="1" min="7" max="7"/>
    <col width="20" customWidth="1" min="8" max="8"/>
  </cols>
  <sheetData>
    <row r="1" ht="26" customHeight="1">
      <c r="A1" s="9" t="inlineStr">
        <is>
          <t>INVENTORY REGISTER</t>
        </is>
      </c>
    </row>
    <row r="2">
      <c r="A2" s="10" t="inlineStr">
        <is>
          <t>Illustrative perpetual stock card with closing inventory</t>
        </is>
      </c>
    </row>
    <row r="3" ht="30" customHeight="1">
      <c r="A3" s="11" t="inlineStr">
        <is>
          <t>SKU</t>
        </is>
      </c>
      <c r="B3" s="11" t="inlineStr">
        <is>
          <t>Product</t>
        </is>
      </c>
      <c r="C3" s="11" t="inlineStr">
        <is>
          <t>Opening Qty</t>
        </is>
      </c>
      <c r="D3" s="11" t="inlineStr">
        <is>
          <t>Purchases Qty</t>
        </is>
      </c>
      <c r="E3" s="11" t="inlineStr">
        <is>
          <t>Units Sold</t>
        </is>
      </c>
      <c r="F3" s="11" t="inlineStr">
        <is>
          <t>Closing Qty</t>
        </is>
      </c>
      <c r="G3" s="11" t="inlineStr">
        <is>
          <t>Unit Cost (₦)</t>
        </is>
      </c>
      <c r="H3" s="11" t="inlineStr">
        <is>
          <t>Closing Value (₦)</t>
        </is>
      </c>
    </row>
    <row r="4">
      <c r="A4" s="6" t="inlineStr">
        <is>
          <t>SKU-001</t>
        </is>
      </c>
      <c r="B4" s="6" t="inlineStr">
        <is>
          <t>Laptop accessories</t>
        </is>
      </c>
      <c r="C4" s="6" t="n">
        <v>20</v>
      </c>
      <c r="D4" s="6" t="n">
        <v>10</v>
      </c>
      <c r="E4" s="6" t="n">
        <v>15</v>
      </c>
      <c r="F4" s="6">
        <f>C4+D4-E4</f>
        <v/>
      </c>
      <c r="G4" s="12" t="n">
        <v>11000</v>
      </c>
      <c r="H4" s="12">
        <f>F4*G4</f>
        <v/>
      </c>
    </row>
    <row r="5">
      <c r="A5" s="6" t="inlineStr">
        <is>
          <t>SKU-002</t>
        </is>
      </c>
      <c r="B5" s="6" t="inlineStr">
        <is>
          <t>Printer paper carton</t>
        </is>
      </c>
      <c r="C5" s="6" t="n">
        <v>35</v>
      </c>
      <c r="D5" s="6" t="n">
        <v>15</v>
      </c>
      <c r="E5" s="6" t="n">
        <v>32</v>
      </c>
      <c r="F5" s="6">
        <f>C5+D5-E5</f>
        <v/>
      </c>
      <c r="G5" s="12" t="n">
        <v>8000</v>
      </c>
      <c r="H5" s="12">
        <f>F5*G5</f>
        <v/>
      </c>
    </row>
    <row r="6">
      <c r="A6" s="6" t="inlineStr">
        <is>
          <t>SKU-003</t>
        </is>
      </c>
      <c r="B6" s="6" t="inlineStr">
        <is>
          <t>USB flash drive</t>
        </is>
      </c>
      <c r="C6" s="6" t="n">
        <v>50</v>
      </c>
      <c r="D6" s="6" t="n">
        <v>20</v>
      </c>
      <c r="E6" s="6" t="n">
        <v>35</v>
      </c>
      <c r="F6" s="6">
        <f>C6+D6-E6</f>
        <v/>
      </c>
      <c r="G6" s="12" t="n">
        <v>2500</v>
      </c>
      <c r="H6" s="12">
        <f>F6*G6</f>
        <v/>
      </c>
    </row>
    <row r="7">
      <c r="A7" s="6" t="inlineStr">
        <is>
          <t>SKU-004</t>
        </is>
      </c>
      <c r="B7" s="6" t="inlineStr">
        <is>
          <t>Wireless mouse</t>
        </is>
      </c>
      <c r="C7" s="6" t="n">
        <v>25</v>
      </c>
      <c r="D7" s="6" t="n">
        <v>15</v>
      </c>
      <c r="E7" s="6" t="n">
        <v>22</v>
      </c>
      <c r="F7" s="6">
        <f>C7+D7-E7</f>
        <v/>
      </c>
      <c r="G7" s="12" t="n">
        <v>3500</v>
      </c>
      <c r="H7" s="12">
        <f>F7*G7</f>
        <v/>
      </c>
    </row>
    <row r="8">
      <c r="A8" s="6" t="inlineStr">
        <is>
          <t>SKU-005</t>
        </is>
      </c>
      <c r="B8" s="6" t="inlineStr">
        <is>
          <t>Keyboard</t>
        </is>
      </c>
      <c r="C8" s="6" t="n">
        <v>20</v>
      </c>
      <c r="D8" s="6" t="n">
        <v>10</v>
      </c>
      <c r="E8" s="6" t="n">
        <v>18</v>
      </c>
      <c r="F8" s="6">
        <f>C8+D8-E8</f>
        <v/>
      </c>
      <c r="G8" s="12" t="n">
        <v>5000</v>
      </c>
      <c r="H8" s="12">
        <f>F8*G8</f>
        <v/>
      </c>
    </row>
    <row r="9"/>
    <row r="10">
      <c r="G10" s="6" t="inlineStr">
        <is>
          <t>TOTAL</t>
        </is>
      </c>
      <c r="H10" s="12">
        <f>SUM(H4:H8)</f>
        <v/>
      </c>
    </row>
  </sheetData>
  <mergeCells count="2">
    <mergeCell ref="A2:E2"/>
    <mergeCell ref="A1:E1"/>
  </mergeCells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0" customWidth="1" min="2" max="2"/>
    <col width="20" customWidth="1" min="3" max="3"/>
    <col width="20" customWidth="1" min="4" max="4"/>
  </cols>
  <sheetData>
    <row r="1" ht="26" customHeight="1">
      <c r="A1" s="9" t="inlineStr">
        <is>
          <t>TRIAL BALANCE</t>
        </is>
      </c>
    </row>
    <row r="2">
      <c r="A2" s="10" t="inlineStr">
        <is>
          <t>Illustrative selected balances | Review account mapping and completeness</t>
        </is>
      </c>
    </row>
    <row r="3" ht="30" customHeight="1">
      <c r="A3" s="11" t="inlineStr">
        <is>
          <t>Account Code</t>
        </is>
      </c>
      <c r="B3" s="11" t="inlineStr">
        <is>
          <t>Account Name</t>
        </is>
      </c>
      <c r="C3" s="11" t="inlineStr">
        <is>
          <t>Debit (₦)</t>
        </is>
      </c>
      <c r="D3" s="11" t="inlineStr">
        <is>
          <t>Credit (₦)</t>
        </is>
      </c>
    </row>
    <row r="4">
      <c r="A4" s="6" t="inlineStr">
        <is>
          <t>1000</t>
        </is>
      </c>
      <c r="B4" s="6" t="inlineStr">
        <is>
          <t>Cash and bank</t>
        </is>
      </c>
      <c r="C4" s="12" t="n">
        <v>0</v>
      </c>
      <c r="D4" s="12" t="n">
        <v>0</v>
      </c>
    </row>
    <row r="5">
      <c r="A5" s="6" t="inlineStr">
        <is>
          <t>1100</t>
        </is>
      </c>
      <c r="B5" s="6" t="inlineStr">
        <is>
          <t>Accounts receivable</t>
        </is>
      </c>
      <c r="C5" s="12" t="n">
        <v>0</v>
      </c>
      <c r="D5" s="12" t="n">
        <v>0</v>
      </c>
    </row>
    <row r="6">
      <c r="A6" s="6" t="inlineStr">
        <is>
          <t>1200</t>
        </is>
      </c>
      <c r="B6" s="6" t="inlineStr">
        <is>
          <t>Inventory</t>
        </is>
      </c>
      <c r="C6" s="12" t="n">
        <v>0</v>
      </c>
      <c r="D6" s="12" t="n">
        <v>0</v>
      </c>
    </row>
    <row r="7">
      <c r="A7" s="6" t="inlineStr">
        <is>
          <t>2000</t>
        </is>
      </c>
      <c r="B7" s="6" t="inlineStr">
        <is>
          <t>Accounts payable</t>
        </is>
      </c>
      <c r="C7" s="12" t="n">
        <v>0</v>
      </c>
      <c r="D7" s="12" t="n">
        <v>0</v>
      </c>
    </row>
    <row r="8">
      <c r="A8" s="6" t="inlineStr">
        <is>
          <t>3000</t>
        </is>
      </c>
      <c r="B8" s="6" t="inlineStr">
        <is>
          <t>Owner's capital</t>
        </is>
      </c>
      <c r="C8" s="12" t="n">
        <v>0</v>
      </c>
      <c r="D8" s="12" t="n">
        <v>500000</v>
      </c>
    </row>
    <row r="9">
      <c r="A9" s="6" t="inlineStr">
        <is>
          <t>4000</t>
        </is>
      </c>
      <c r="B9" s="6" t="inlineStr">
        <is>
          <t>Sales revenue</t>
        </is>
      </c>
      <c r="C9" s="12" t="n">
        <v>0</v>
      </c>
      <c r="D9" s="12" t="n">
        <v>1123500</v>
      </c>
    </row>
    <row r="10">
      <c r="A10" s="6" t="inlineStr">
        <is>
          <t>5000</t>
        </is>
      </c>
      <c r="B10" s="6" t="inlineStr">
        <is>
          <t>Cost of sales</t>
        </is>
      </c>
      <c r="C10" s="12" t="n">
        <v>0</v>
      </c>
      <c r="D10" s="12" t="n">
        <v>0</v>
      </c>
    </row>
    <row r="11">
      <c r="A11" s="6" t="inlineStr">
        <is>
          <t>6000</t>
        </is>
      </c>
      <c r="B11" s="6" t="inlineStr">
        <is>
          <t>Operating expenses</t>
        </is>
      </c>
      <c r="C11" s="12" t="n">
        <v>0</v>
      </c>
      <c r="D11" s="12" t="n">
        <v>400000</v>
      </c>
    </row>
    <row r="12"/>
    <row r="13">
      <c r="A13" s="6" t="inlineStr">
        <is>
          <t>TOTAL</t>
        </is>
      </c>
      <c r="C13" s="12">
        <f>SUM(C4:C11)</f>
        <v/>
      </c>
      <c r="D13" s="12">
        <f>SUM(D4:D11)</f>
        <v/>
      </c>
    </row>
    <row r="14">
      <c r="A14" s="6" t="inlineStr">
        <is>
          <t>Difference</t>
        </is>
      </c>
      <c r="C14" s="12">
        <f>C13-D13</f>
        <v/>
      </c>
    </row>
    <row r="15"/>
    <row r="16">
      <c r="A16" s="5" t="inlineStr">
        <is>
          <t>Training note</t>
        </is>
      </c>
      <c r="B16" s="4" t="inlineStr">
        <is>
          <t>This is a partial, illustrative trial balance scaffold. A production trial balance must include all ledger balances and be balanced before statements are finalized.</t>
        </is>
      </c>
    </row>
    <row r="17"/>
  </sheetData>
  <mergeCells count="3">
    <mergeCell ref="A2:E2"/>
    <mergeCell ref="B16:D17"/>
    <mergeCell ref="A1:E1"/>
  </mergeCells>
  <pageMargins left="0.75" right="0.75" top="1" bottom="1" header="0.5" footer="0.5"/>
  <pageSetup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 ht="26" customHeight="1">
      <c r="A1" s="9" t="inlineStr">
        <is>
          <t>STATEMENT OF PROFIT OR LOSS</t>
        </is>
      </c>
    </row>
    <row r="2">
      <c r="A2" s="10" t="inlineStr">
        <is>
          <t>NigerTech Retail Ltd. | Illustrative September 2026</t>
        </is>
      </c>
    </row>
    <row r="3" ht="30" customHeight="1">
      <c r="A3" s="11" t="inlineStr">
        <is>
          <t>Line Item</t>
        </is>
      </c>
      <c r="B3" s="11" t="inlineStr">
        <is>
          <t>Amount (₦)</t>
        </is>
      </c>
    </row>
    <row r="4">
      <c r="A4" s="6" t="inlineStr">
        <is>
          <t>Revenue</t>
        </is>
      </c>
      <c r="B4" s="12">
        <f>'Sales Register'!G17</f>
        <v/>
      </c>
    </row>
    <row r="5">
      <c r="A5" s="6" t="inlineStr">
        <is>
          <t>Cost of sales</t>
        </is>
      </c>
      <c r="B5" s="12">
        <f>SUMPRODUCT(Inventory!E4:E8,Inventory!G4:G8)</f>
        <v/>
      </c>
    </row>
    <row r="6">
      <c r="A6" s="16" t="inlineStr">
        <is>
          <t>Gross profit</t>
        </is>
      </c>
      <c r="B6" s="17">
        <f>B4-B5</f>
        <v/>
      </c>
    </row>
    <row r="7">
      <c r="A7" s="6" t="inlineStr">
        <is>
          <t>Operating expenses</t>
        </is>
      </c>
      <c r="B7" s="12">
        <f>'Expense Register'!F15</f>
        <v/>
      </c>
    </row>
    <row r="8">
      <c r="A8" s="16" t="inlineStr">
        <is>
          <t>Net profit before tax</t>
        </is>
      </c>
      <c r="B8" s="17">
        <f>B6-B7</f>
        <v/>
      </c>
    </row>
    <row r="9"/>
    <row r="10">
      <c r="A10" s="5" t="inlineStr">
        <is>
          <t>Reporting note</t>
        </is>
      </c>
      <c r="B10" s="4" t="inlineStr">
        <is>
          <t>Cost of sales uses units sold × unit cost from the inventory register. For real reporting, reconcile inventory, purchases, returns, VAT/tax treatment, accruals, and other adjustments.</t>
        </is>
      </c>
    </row>
    <row r="11"/>
  </sheetData>
  <mergeCells count="3">
    <mergeCell ref="A2:E2"/>
    <mergeCell ref="A1:E1"/>
    <mergeCell ref="B10:F11"/>
  </mergeCells>
  <pageMargins left="0.75" right="0.75" top="1" bottom="1" header="0.5" footer="0.5"/>
  <pageSetup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22" customWidth="1" min="3" max="3"/>
    <col width="16" customWidth="1" min="4" max="4"/>
    <col width="16" customWidth="1" min="5" max="5"/>
    <col width="16" customWidth="1" min="6" max="6"/>
  </cols>
  <sheetData>
    <row r="1" ht="26" customHeight="1">
      <c r="A1" s="9" t="inlineStr">
        <is>
          <t>STATEMENT OF FINANCIAL POSITION</t>
        </is>
      </c>
    </row>
    <row r="2">
      <c r="A2" s="10" t="inlineStr">
        <is>
          <t>Illustrative layout for portfolio practice; complete balances before use</t>
        </is>
      </c>
    </row>
    <row r="3" ht="30" customHeight="1">
      <c r="A3" s="11" t="inlineStr">
        <is>
          <t>Section</t>
        </is>
      </c>
      <c r="B3" s="11" t="inlineStr">
        <is>
          <t>Account</t>
        </is>
      </c>
      <c r="C3" s="11" t="inlineStr">
        <is>
          <t>Amount (₦)</t>
        </is>
      </c>
    </row>
    <row r="4">
      <c r="A4" s="6" t="inlineStr">
        <is>
          <t>Assets</t>
        </is>
      </c>
      <c r="B4" s="6" t="inlineStr">
        <is>
          <t>Cash and bank</t>
        </is>
      </c>
      <c r="C4" s="12" t="n">
        <v>0</v>
      </c>
    </row>
    <row r="5">
      <c r="A5" s="6" t="inlineStr">
        <is>
          <t>Assets</t>
        </is>
      </c>
      <c r="B5" s="6" t="inlineStr">
        <is>
          <t>Accounts receivable</t>
        </is>
      </c>
      <c r="C5" s="12" t="n">
        <v>0</v>
      </c>
    </row>
    <row r="6">
      <c r="A6" s="6" t="inlineStr">
        <is>
          <t>Assets</t>
        </is>
      </c>
      <c r="B6" s="6" t="inlineStr">
        <is>
          <t>Closing inventory</t>
        </is>
      </c>
      <c r="C6" s="12">
        <f>Inventory!H10</f>
        <v/>
      </c>
    </row>
    <row r="7">
      <c r="A7" s="16" t="inlineStr">
        <is>
          <t>Assets</t>
        </is>
      </c>
      <c r="B7" s="16" t="inlineStr">
        <is>
          <t>Total assets</t>
        </is>
      </c>
      <c r="C7" s="17">
        <f>SUM(C4:C6)</f>
        <v/>
      </c>
    </row>
    <row r="8">
      <c r="A8" s="6" t="inlineStr">
        <is>
          <t>Liabilities</t>
        </is>
      </c>
      <c r="B8" s="6" t="inlineStr">
        <is>
          <t>Accounts payable</t>
        </is>
      </c>
      <c r="C8" s="12" t="n">
        <v>0</v>
      </c>
    </row>
    <row r="9">
      <c r="A9" s="18" t="inlineStr">
        <is>
          <t>Liabilities</t>
        </is>
      </c>
      <c r="B9" s="18" t="inlineStr">
        <is>
          <t>Total liabilities</t>
        </is>
      </c>
      <c r="C9" s="19">
        <f>C8</f>
        <v/>
      </c>
    </row>
    <row r="10">
      <c r="A10" s="6" t="inlineStr">
        <is>
          <t>Equity</t>
        </is>
      </c>
      <c r="B10" s="6" t="inlineStr">
        <is>
          <t>Owner's capital</t>
        </is>
      </c>
      <c r="C10" s="12" t="n">
        <v>500000</v>
      </c>
    </row>
    <row r="11">
      <c r="A11" s="6" t="inlineStr">
        <is>
          <t>Equity</t>
        </is>
      </c>
      <c r="B11" s="6" t="inlineStr">
        <is>
          <t>Current period profit</t>
        </is>
      </c>
      <c r="C11" s="12">
        <f>'Income Statement'!B8</f>
        <v/>
      </c>
    </row>
    <row r="12">
      <c r="A12" s="16" t="inlineStr">
        <is>
          <t>Equity</t>
        </is>
      </c>
      <c r="B12" s="16" t="inlineStr">
        <is>
          <t>Total equity</t>
        </is>
      </c>
      <c r="C12" s="17">
        <f>SUM(C10:C11)</f>
        <v/>
      </c>
    </row>
    <row r="13">
      <c r="A13" s="18" t="inlineStr">
        <is>
          <t>Check</t>
        </is>
      </c>
      <c r="B13" s="18" t="inlineStr">
        <is>
          <t>Liabilities + equity</t>
        </is>
      </c>
      <c r="C13" s="19">
        <f>C9+C12</f>
        <v/>
      </c>
    </row>
    <row r="14">
      <c r="A14" s="18" t="inlineStr">
        <is>
          <t>Check</t>
        </is>
      </c>
      <c r="B14" s="18" t="inlineStr">
        <is>
          <t>Difference (assets less liabilities/equity)</t>
        </is>
      </c>
      <c r="C14" s="19">
        <f>C7-C13</f>
        <v/>
      </c>
    </row>
    <row r="15"/>
    <row r="16">
      <c r="A16" s="5" t="inlineStr">
        <is>
          <t>Important</t>
        </is>
      </c>
      <c r="B16" s="4" t="inlineStr">
        <is>
          <t>This statement is an illustrative scaffold and may not balance because several ledger balances are intentionally left at zero. Do not represent it as finalized financial statements.</t>
        </is>
      </c>
    </row>
    <row r="17"/>
  </sheetData>
  <mergeCells count="3">
    <mergeCell ref="A2:E2"/>
    <mergeCell ref="B16:F17"/>
    <mergeCell ref="A1:E1"/>
  </mergeCells>
  <pageMargins left="0.75" right="0.75" top="1" bottom="1" header="0.5" footer="0.5"/>
  <pageSetup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F6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16" customWidth="1" min="5" max="5"/>
    <col width="48" customWidth="1" min="6" max="6"/>
  </cols>
  <sheetData>
    <row r="1" ht="26" customHeight="1">
      <c r="A1" s="9" t="inlineStr">
        <is>
          <t>BUDGET VS ACTUAL</t>
        </is>
      </c>
    </row>
    <row r="2">
      <c r="A2" s="10" t="inlineStr">
        <is>
          <t>Management reporting | September 2026 illustrative assumptions</t>
        </is>
      </c>
    </row>
    <row r="3" ht="30" customHeight="1">
      <c r="A3" s="11" t="inlineStr">
        <is>
          <t>Category</t>
        </is>
      </c>
      <c r="B3" s="11" t="inlineStr">
        <is>
          <t>Budget (₦)</t>
        </is>
      </c>
      <c r="C3" s="11" t="inlineStr">
        <is>
          <t>Actual (₦)</t>
        </is>
      </c>
      <c r="D3" s="11" t="inlineStr">
        <is>
          <t>Variance (₦)</t>
        </is>
      </c>
      <c r="E3" s="11" t="inlineStr">
        <is>
          <t>Variance %</t>
        </is>
      </c>
      <c r="F3" s="11" t="inlineStr">
        <is>
          <t>Comment</t>
        </is>
      </c>
    </row>
    <row r="4">
      <c r="A4" s="6" t="inlineStr">
        <is>
          <t>Sales revenue</t>
        </is>
      </c>
      <c r="B4" s="12" t="n">
        <v>1000000</v>
      </c>
      <c r="C4" s="12">
        <f>'Sales Register'!G17</f>
        <v/>
      </c>
      <c r="D4" s="12">
        <f>C4-B4</f>
        <v/>
      </c>
      <c r="E4" s="20">
        <f>IFERROR(D4/B4,0)</f>
        <v/>
      </c>
      <c r="F4" s="6" t="inlineStr">
        <is>
          <t>Positive variance means actual exceeds budget.</t>
        </is>
      </c>
    </row>
    <row r="5">
      <c r="A5" s="6" t="inlineStr">
        <is>
          <t>Cost of sales</t>
        </is>
      </c>
      <c r="B5" s="12" t="n">
        <v>400000</v>
      </c>
      <c r="C5" s="12">
        <f>'Income Statement'!B5</f>
        <v/>
      </c>
      <c r="D5" s="12">
        <f>C5-B5</f>
        <v/>
      </c>
      <c r="E5" s="20">
        <f>IFERROR(D5/B5,0)</f>
        <v/>
      </c>
      <c r="F5" s="6" t="inlineStr">
        <is>
          <t>Review supplier pricing and product mix.</t>
        </is>
      </c>
    </row>
    <row r="6">
      <c r="A6" s="6" t="inlineStr">
        <is>
          <t>Operating expenses</t>
        </is>
      </c>
      <c r="B6" s="12" t="n">
        <v>420000</v>
      </c>
      <c r="C6" s="12">
        <f>'Expense Register'!F15</f>
        <v/>
      </c>
      <c r="D6" s="12">
        <f>C6-B6</f>
        <v/>
      </c>
      <c r="E6" s="20">
        <f>IFERROR(D6/B6,0)</f>
        <v/>
      </c>
      <c r="F6" s="6" t="inlineStr">
        <is>
          <t>Investigate material overspend/underspend.</t>
        </is>
      </c>
    </row>
  </sheetData>
  <mergeCells count="2">
    <mergeCell ref="A2:E2"/>
    <mergeCell ref="A1:E1"/>
  </mergeCells>
  <pageMargins left="0.75" right="0.75" top="1" bottom="1" header="0.5" footer="0.5"/>
  <pageSetup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2026-10-28T21:26:13Z</dcterms:created>
  <dcterms:modified xmlns:dcterms="http://purl.org/dc/terms/" xmlns:xsi="http://www.w3.org/2001/XMLSchema-instance" xsi:type="dcterms:W3CDTF">2026-10-28T21:26:13Z</dcterms:modified>
</cp:coreProperties>
</file>